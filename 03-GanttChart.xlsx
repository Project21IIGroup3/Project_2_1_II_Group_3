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Phase dates after Phase 1 are assumptions – adjust to the official course deadlines. Bars are static colours so they show in Google Sheets too — recolour cells if dates change.</t>
        </r>
      </text>
    </comment>
  </commentList>
</comments>
</file>

<file path=xl/sharedStrings.xml><?xml version="1.0" encoding="utf-8"?>
<sst xmlns="http://schemas.openxmlformats.org/spreadsheetml/2006/main" count="135" uniqueCount="75">
  <si>
    <t xml:space="preserve">Task</t>
  </si>
  <si>
    <t xml:space="preserve">Owner</t>
  </si>
  <si>
    <t xml:space="preserve">Start</t>
  </si>
  <si>
    <t xml:space="preserve">End</t>
  </si>
  <si>
    <t xml:space="preserve">Status</t>
  </si>
  <si>
    <t xml:space="preserve">Phase 1 – Research &amp; Setup</t>
  </si>
  <si>
    <t xml:space="preserve">Read project manual &amp; syllabus</t>
  </si>
  <si>
    <t xml:space="preserve">All</t>
  </si>
  <si>
    <t xml:space="preserve">Done</t>
  </si>
  <si>
    <t xml:space="preserve">Shared folder + GitHub repo setup</t>
  </si>
  <si>
    <t xml:space="preserve">Max</t>
  </si>
  <si>
    <t xml:space="preserve">Brainstorm UX / what to apply parallax to</t>
  </si>
  <si>
    <t xml:space="preserve">Justin, Rotem</t>
  </si>
  <si>
    <t xml:space="preserve">Research face &amp; eye tracking libraries</t>
  </si>
  <si>
    <t xml:space="preserve">Tudor, Max</t>
  </si>
  <si>
    <t xml:space="preserve">Research Tauri + webview parallax rendering</t>
  </si>
  <si>
    <t xml:space="preserve">Federico</t>
  </si>
  <si>
    <t xml:space="preserve">Research build systems, CI/CD, parallax math</t>
  </si>
  <si>
    <t xml:space="preserve">Sotiris</t>
  </si>
  <si>
    <t xml:space="preserve">MediaPipe Face Mesh setup</t>
  </si>
  <si>
    <t xml:space="preserve">Tudor</t>
  </si>
  <si>
    <t xml:space="preserve">C++/OpenCV eye-tracking comparison demo</t>
  </si>
  <si>
    <t xml:space="preserve">3D scene v1 in Blender</t>
  </si>
  <si>
    <t xml:space="preserve">Window system with lazy loading + controls overlay</t>
  </si>
  <si>
    <t xml:space="preserve">Face-tracking controller API for frontend</t>
  </si>
  <si>
    <t xml:space="preserve">Face tracking → parallax mapping prototype</t>
  </si>
  <si>
    <t xml:space="preserve">In progress</t>
  </si>
  <si>
    <t xml:space="preserve">Skill class assignment</t>
  </si>
  <si>
    <t xml:space="preserve">Max, Tudor</t>
  </si>
  <si>
    <t xml:space="preserve">Phase 1 overview + project plan</t>
  </si>
  <si>
    <t xml:space="preserve">◆ Phase 1 deadline</t>
  </si>
  <si>
    <t xml:space="preserve">—</t>
  </si>
  <si>
    <t xml:space="preserve">Milestone</t>
  </si>
  <si>
    <t xml:space="preserve">Phase 2 – Core Implementation</t>
  </si>
  <si>
    <t xml:space="preserve">Python ↔ Tauri bridge for tracking data</t>
  </si>
  <si>
    <t xml:space="preserve">Federico, Tudor</t>
  </si>
  <si>
    <t xml:space="preserve">Not started</t>
  </si>
  <si>
    <t xml:space="preserve">Render parallax with the Blender scenes in Tauri</t>
  </si>
  <si>
    <t xml:space="preserve">Fix 3D model issues, camera placements, colours</t>
  </si>
  <si>
    <t xml:space="preserve">UI for mode selection (HTML/TypeScript)</t>
  </si>
  <si>
    <t xml:space="preserve">Rotem</t>
  </si>
  <si>
    <t xml:space="preserve">Tracking performance optimisation (≥30 FPS)</t>
  </si>
  <si>
    <t xml:space="preserve">Sotiris, Tudor</t>
  </si>
  <si>
    <t xml:space="preserve">Calibration + sensitivity settings</t>
  </si>
  <si>
    <t xml:space="preserve">Justin, Sotiris</t>
  </si>
  <si>
    <t xml:space="preserve">Extra scenes (artwork parallax, more 3D scenes)</t>
  </si>
  <si>
    <t xml:space="preserve">User-uploaded image mode</t>
  </si>
  <si>
    <t xml:space="preserve">Federico, Rotem</t>
  </si>
  <si>
    <t xml:space="preserve">CI/CD pipeline (build + test on commit)</t>
  </si>
  <si>
    <t xml:space="preserve">Eye-tracking accuracy improvements</t>
  </si>
  <si>
    <t xml:space="preserve">Phase 2 report + presentation</t>
  </si>
  <si>
    <t xml:space="preserve">Max, Justin</t>
  </si>
  <si>
    <t xml:space="preserve">◆ Phase 2 deadline</t>
  </si>
  <si>
    <t xml:space="preserve">Phase 3 – Testing, Polish &amp; Delivery</t>
  </si>
  <si>
    <t xml:space="preserve">User testing (≥5 participants, feedback form)</t>
  </si>
  <si>
    <t xml:space="preserve">Justin, Max</t>
  </si>
  <si>
    <t xml:space="preserve">Performance profiling + optimisation</t>
  </si>
  <si>
    <t xml:space="preserve">UI / UX polish</t>
  </si>
  <si>
    <t xml:space="preserve">Web hosting for examiners</t>
  </si>
  <si>
    <t xml:space="preserve">Christmas break</t>
  </si>
  <si>
    <t xml:space="preserve">Break</t>
  </si>
  <si>
    <t xml:space="preserve">Bug fixing + code freeze</t>
  </si>
  <si>
    <t xml:space="preserve">Federico, Sotiris</t>
  </si>
  <si>
    <t xml:space="preserve">Final report</t>
  </si>
  <si>
    <t xml:space="preserve">Final presentation + demo prep</t>
  </si>
  <si>
    <t xml:space="preserve">Rotem, Tudor</t>
  </si>
  <si>
    <t xml:space="preserve">◆ Final deadline</t>
  </si>
  <si>
    <t xml:space="preserve">Status overview</t>
  </si>
  <si>
    <t xml:space="preserve">Tasks</t>
  </si>
  <si>
    <t xml:space="preserve">Blocked</t>
  </si>
  <si>
    <t xml:space="preserve">Total tasks</t>
  </si>
  <si>
    <t xml:space="preserve">% done</t>
  </si>
  <si>
    <t xml:space="preserve">Legend</t>
  </si>
  <si>
    <t xml:space="preserve">Current week</t>
  </si>
  <si>
    <t xml:space="preserve">Bars are filled cells (not formulas) so they render in Google Sheets / Numbers. Dates after Oct 11 2026 are estimates.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</si>
</sst>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274E13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990000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E8EEF7"/>
        <bgColor rgb="FFDEEBF7"/>
      </patternFill>
    </fill>
    <fill>
      <patternFill patternType="solid">
        <fgColor rgb="FFD9EAD3"/>
        <bgColor rgb="FFDEEBF7"/>
      </patternFill>
    </fill>
    <fill>
      <patternFill patternType="solid">
        <fgColor rgb="FF1F4E9A"/>
        <bgColor rgb="FF1F4E79"/>
      </patternFill>
    </fill>
    <fill>
      <patternFill patternType="solid">
        <fgColor rgb="FFDEEBF7"/>
        <bgColor rgb="FFE8EEF7"/>
      </patternFill>
    </fill>
    <fill>
      <patternFill patternType="solid">
        <fgColor rgb="FF2E75B6"/>
        <bgColor rgb="FF0066CC"/>
      </patternFill>
    </fill>
    <fill>
      <patternFill patternType="solid">
        <fgColor rgb="FFF4CCCC"/>
        <bgColor rgb="FFD9D9D9"/>
      </patternFill>
    </fill>
    <fill>
      <patternFill patternType="solid">
        <fgColor rgb="FFC0392B"/>
        <bgColor rgb="FF993366"/>
      </patternFill>
    </fill>
    <fill>
      <patternFill patternType="solid">
        <fgColor rgb="FF9DC3E6"/>
        <bgColor rgb="FFBFBFBF"/>
      </patternFill>
    </fill>
    <fill>
      <patternFill patternType="solid">
        <fgColor rgb="FFBFBFBF"/>
        <bgColor rgb="FF9DC3E6"/>
      </patternFill>
    </fill>
    <fill>
      <patternFill patternType="solid">
        <fgColor rgb="FFE67E22"/>
        <bgColor rgb="FFFF9900"/>
      </patternFill>
    </fill>
    <fill>
      <patternFill patternType="solid">
        <fgColor rgb="FFFFF2CC"/>
        <bgColor rgb="FFE8EE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D966"/>
        </patternFill>
      </fill>
    </dxf>
  </dxfs>
  <colors>
    <indexedColors>
      <rgbColor rgb="FF000000"/>
      <rgbColor rgb="FFE8EEF7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D966"/>
      <rgbColor rgb="FF9DC3E6"/>
      <rgbColor rgb="FFFF99CC"/>
      <rgbColor rgb="FFCC99FF"/>
      <rgbColor rgb="FFF4CCCC"/>
      <rgbColor rgb="FF2E75B6"/>
      <rgbColor rgb="FF33CCCC"/>
      <rgbColor rgb="FF99CC00"/>
      <rgbColor rgb="FFFFCC00"/>
      <rgbColor rgb="FFFF9900"/>
      <rgbColor rgb="FFE67E22"/>
      <rgbColor rgb="FF595959"/>
      <rgbColor rgb="FF969696"/>
      <rgbColor rgb="FF1F4E79"/>
      <rgbColor rgb="FF339966"/>
      <rgbColor rgb="FF003300"/>
      <rgbColor rgb="FF274E13"/>
      <rgbColor rgb="FFC0392B"/>
      <rgbColor rgb="FF993366"/>
      <rgbColor rgb="FF1F4E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F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7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26" min="6" style="0" width="4.2"/>
  </cols>
  <sheetData>
    <row r="1" customFormat="false" ht="7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n">
        <v>46272</v>
      </c>
      <c r="G1" s="2" t="n">
        <v>46279</v>
      </c>
      <c r="H1" s="2" t="n">
        <v>46286</v>
      </c>
      <c r="I1" s="2" t="n">
        <v>46293</v>
      </c>
      <c r="J1" s="2" t="n">
        <v>46300</v>
      </c>
      <c r="K1" s="2" t="n">
        <v>46307</v>
      </c>
      <c r="L1" s="2" t="n">
        <v>46314</v>
      </c>
      <c r="M1" s="2" t="n">
        <v>46321</v>
      </c>
      <c r="N1" s="2" t="n">
        <v>46328</v>
      </c>
      <c r="O1" s="2" t="n">
        <v>46335</v>
      </c>
      <c r="P1" s="2" t="n">
        <v>46342</v>
      </c>
      <c r="Q1" s="2" t="n">
        <v>46349</v>
      </c>
      <c r="R1" s="2" t="n">
        <v>46356</v>
      </c>
      <c r="S1" s="2" t="n">
        <v>46363</v>
      </c>
      <c r="T1" s="2" t="n">
        <v>46370</v>
      </c>
      <c r="U1" s="2" t="n">
        <v>46377</v>
      </c>
      <c r="V1" s="2" t="n">
        <v>46384</v>
      </c>
      <c r="W1" s="2" t="n">
        <v>46391</v>
      </c>
      <c r="X1" s="2" t="n">
        <v>46398</v>
      </c>
      <c r="Y1" s="2" t="n">
        <v>46405</v>
      </c>
      <c r="Z1" s="2" t="n">
        <v>46412</v>
      </c>
    </row>
    <row r="2" customFormat="false" ht="15" hidden="false" customHeight="false" outlineLevel="0" collapsed="false">
      <c r="A2" s="3" t="s">
        <v>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" hidden="false" customHeight="false" outlineLevel="0" collapsed="false">
      <c r="A3" s="5" t="s">
        <v>6</v>
      </c>
      <c r="B3" s="6" t="s">
        <v>7</v>
      </c>
      <c r="C3" s="7" t="n">
        <v>46272</v>
      </c>
      <c r="D3" s="7" t="n">
        <v>46278</v>
      </c>
      <c r="E3" s="8" t="s">
        <v>8</v>
      </c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customFormat="false" ht="15" hidden="false" customHeight="false" outlineLevel="0" collapsed="false">
      <c r="A4" s="5" t="s">
        <v>9</v>
      </c>
      <c r="B4" s="6" t="s">
        <v>10</v>
      </c>
      <c r="C4" s="7" t="n">
        <v>46272</v>
      </c>
      <c r="D4" s="7" t="n">
        <v>46278</v>
      </c>
      <c r="E4" s="8" t="s">
        <v>8</v>
      </c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15" hidden="false" customHeight="false" outlineLevel="0" collapsed="false">
      <c r="A5" s="5" t="s">
        <v>11</v>
      </c>
      <c r="B5" s="6" t="s">
        <v>12</v>
      </c>
      <c r="C5" s="7" t="n">
        <v>46279</v>
      </c>
      <c r="D5" s="7" t="n">
        <v>46292</v>
      </c>
      <c r="E5" s="8" t="s">
        <v>8</v>
      </c>
      <c r="F5" s="10"/>
      <c r="G5" s="9"/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customFormat="false" ht="15" hidden="false" customHeight="false" outlineLevel="0" collapsed="false">
      <c r="A6" s="5" t="s">
        <v>13</v>
      </c>
      <c r="B6" s="6" t="s">
        <v>14</v>
      </c>
      <c r="C6" s="7" t="n">
        <v>46279</v>
      </c>
      <c r="D6" s="7" t="n">
        <v>46285</v>
      </c>
      <c r="E6" s="8" t="s">
        <v>8</v>
      </c>
      <c r="F6" s="10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15" hidden="false" customHeight="false" outlineLevel="0" collapsed="false">
      <c r="A7" s="5" t="s">
        <v>15</v>
      </c>
      <c r="B7" s="6" t="s">
        <v>16</v>
      </c>
      <c r="C7" s="7" t="n">
        <v>46279</v>
      </c>
      <c r="D7" s="7" t="n">
        <v>46285</v>
      </c>
      <c r="E7" s="8" t="s">
        <v>8</v>
      </c>
      <c r="F7" s="10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5" hidden="false" customHeight="false" outlineLevel="0" collapsed="false">
      <c r="A8" s="5" t="s">
        <v>17</v>
      </c>
      <c r="B8" s="6" t="s">
        <v>18</v>
      </c>
      <c r="C8" s="7" t="n">
        <v>46279</v>
      </c>
      <c r="D8" s="7" t="n">
        <v>46285</v>
      </c>
      <c r="E8" s="8" t="s">
        <v>8</v>
      </c>
      <c r="F8" s="10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5" hidden="false" customHeight="false" outlineLevel="0" collapsed="false">
      <c r="A9" s="5" t="s">
        <v>19</v>
      </c>
      <c r="B9" s="6" t="s">
        <v>20</v>
      </c>
      <c r="C9" s="7" t="n">
        <v>46279</v>
      </c>
      <c r="D9" s="7" t="n">
        <v>46292</v>
      </c>
      <c r="E9" s="8" t="s">
        <v>8</v>
      </c>
      <c r="F9" s="10"/>
      <c r="G9" s="9"/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5" hidden="false" customHeight="false" outlineLevel="0" collapsed="false">
      <c r="A10" s="5" t="s">
        <v>21</v>
      </c>
      <c r="B10" s="6" t="s">
        <v>10</v>
      </c>
      <c r="C10" s="7" t="n">
        <v>46286</v>
      </c>
      <c r="D10" s="7" t="n">
        <v>46299</v>
      </c>
      <c r="E10" s="8" t="s">
        <v>8</v>
      </c>
      <c r="F10" s="10"/>
      <c r="G10" s="10"/>
      <c r="H10" s="9"/>
      <c r="I10" s="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5" hidden="false" customHeight="false" outlineLevel="0" collapsed="false">
      <c r="A11" s="5" t="s">
        <v>22</v>
      </c>
      <c r="B11" s="6" t="s">
        <v>12</v>
      </c>
      <c r="C11" s="7" t="n">
        <v>46293</v>
      </c>
      <c r="D11" s="7" t="n">
        <v>46306</v>
      </c>
      <c r="E11" s="8" t="s">
        <v>8</v>
      </c>
      <c r="F11" s="10"/>
      <c r="G11" s="10"/>
      <c r="H11" s="10"/>
      <c r="I11" s="9"/>
      <c r="J11" s="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5" hidden="false" customHeight="false" outlineLevel="0" collapsed="false">
      <c r="A12" s="5" t="s">
        <v>23</v>
      </c>
      <c r="B12" s="6" t="s">
        <v>16</v>
      </c>
      <c r="C12" s="7" t="n">
        <v>46293</v>
      </c>
      <c r="D12" s="7" t="n">
        <v>46306</v>
      </c>
      <c r="E12" s="8" t="s">
        <v>8</v>
      </c>
      <c r="F12" s="10"/>
      <c r="G12" s="10"/>
      <c r="H12" s="10"/>
      <c r="I12" s="9"/>
      <c r="J12" s="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5" hidden="false" customHeight="false" outlineLevel="0" collapsed="false">
      <c r="A13" s="5" t="s">
        <v>24</v>
      </c>
      <c r="B13" s="6" t="s">
        <v>20</v>
      </c>
      <c r="C13" s="7" t="n">
        <v>46293</v>
      </c>
      <c r="D13" s="7" t="n">
        <v>46306</v>
      </c>
      <c r="E13" s="8" t="s">
        <v>8</v>
      </c>
      <c r="F13" s="10"/>
      <c r="G13" s="10"/>
      <c r="H13" s="10"/>
      <c r="I13" s="9"/>
      <c r="J13" s="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5" hidden="false" customHeight="false" outlineLevel="0" collapsed="false">
      <c r="A14" s="5" t="s">
        <v>25</v>
      </c>
      <c r="B14" s="6" t="s">
        <v>18</v>
      </c>
      <c r="C14" s="7" t="n">
        <v>46293</v>
      </c>
      <c r="D14" s="7" t="n">
        <v>46306</v>
      </c>
      <c r="E14" s="11" t="s">
        <v>26</v>
      </c>
      <c r="F14" s="10"/>
      <c r="G14" s="10"/>
      <c r="H14" s="10"/>
      <c r="I14" s="12"/>
      <c r="J14" s="12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15" hidden="false" customHeight="false" outlineLevel="0" collapsed="false">
      <c r="A15" s="5" t="s">
        <v>27</v>
      </c>
      <c r="B15" s="6" t="s">
        <v>28</v>
      </c>
      <c r="C15" s="7" t="n">
        <v>46293</v>
      </c>
      <c r="D15" s="7" t="n">
        <v>46306</v>
      </c>
      <c r="E15" s="11" t="s">
        <v>26</v>
      </c>
      <c r="F15" s="10"/>
      <c r="G15" s="10"/>
      <c r="H15" s="10"/>
      <c r="I15" s="12"/>
      <c r="J15" s="12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15" hidden="false" customHeight="false" outlineLevel="0" collapsed="false">
      <c r="A16" s="5" t="s">
        <v>29</v>
      </c>
      <c r="B16" s="6" t="s">
        <v>10</v>
      </c>
      <c r="C16" s="7" t="n">
        <v>46300</v>
      </c>
      <c r="D16" s="7" t="n">
        <v>46306</v>
      </c>
      <c r="E16" s="11" t="s">
        <v>26</v>
      </c>
      <c r="F16" s="10"/>
      <c r="G16" s="10"/>
      <c r="H16" s="10"/>
      <c r="I16" s="10"/>
      <c r="J16" s="12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15" hidden="false" customHeight="false" outlineLevel="0" collapsed="false">
      <c r="A17" s="13" t="s">
        <v>30</v>
      </c>
      <c r="B17" s="6" t="s">
        <v>31</v>
      </c>
      <c r="C17" s="7" t="n">
        <v>46306</v>
      </c>
      <c r="D17" s="7" t="n">
        <v>46306</v>
      </c>
      <c r="E17" s="14" t="s">
        <v>32</v>
      </c>
      <c r="F17" s="10"/>
      <c r="G17" s="10"/>
      <c r="H17" s="10"/>
      <c r="I17" s="10"/>
      <c r="J17" s="15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15" hidden="false" customHeight="false" outlineLevel="0" collapsed="false">
      <c r="A18" s="3" t="s">
        <v>33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" hidden="false" customHeight="false" outlineLevel="0" collapsed="false">
      <c r="A19" s="5" t="s">
        <v>34</v>
      </c>
      <c r="B19" s="6" t="s">
        <v>35</v>
      </c>
      <c r="C19" s="7" t="n">
        <v>46307</v>
      </c>
      <c r="D19" s="7" t="n">
        <v>46320</v>
      </c>
      <c r="E19" s="5" t="s">
        <v>36</v>
      </c>
      <c r="F19" s="10"/>
      <c r="G19" s="10"/>
      <c r="H19" s="10"/>
      <c r="I19" s="10"/>
      <c r="J19" s="10"/>
      <c r="K19" s="16"/>
      <c r="L19" s="16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15" hidden="false" customHeight="false" outlineLevel="0" collapsed="false">
      <c r="A20" s="5" t="s">
        <v>37</v>
      </c>
      <c r="B20" s="6" t="s">
        <v>16</v>
      </c>
      <c r="C20" s="7" t="n">
        <v>46307</v>
      </c>
      <c r="D20" s="7" t="n">
        <v>46334</v>
      </c>
      <c r="E20" s="5" t="s">
        <v>36</v>
      </c>
      <c r="F20" s="10"/>
      <c r="G20" s="10"/>
      <c r="H20" s="10"/>
      <c r="I20" s="10"/>
      <c r="J20" s="10"/>
      <c r="K20" s="16"/>
      <c r="L20" s="16"/>
      <c r="M20" s="16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15" hidden="false" customHeight="false" outlineLevel="0" collapsed="false">
      <c r="A21" s="5" t="s">
        <v>38</v>
      </c>
      <c r="B21" s="6" t="s">
        <v>12</v>
      </c>
      <c r="C21" s="7" t="n">
        <v>46307</v>
      </c>
      <c r="D21" s="7" t="n">
        <v>46320</v>
      </c>
      <c r="E21" s="5" t="s">
        <v>36</v>
      </c>
      <c r="F21" s="10"/>
      <c r="G21" s="10"/>
      <c r="H21" s="10"/>
      <c r="I21" s="10"/>
      <c r="J21" s="10"/>
      <c r="K21" s="16"/>
      <c r="L21" s="16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5" hidden="false" customHeight="false" outlineLevel="0" collapsed="false">
      <c r="A22" s="5" t="s">
        <v>39</v>
      </c>
      <c r="B22" s="6" t="s">
        <v>40</v>
      </c>
      <c r="C22" s="7" t="n">
        <v>46307</v>
      </c>
      <c r="D22" s="7" t="n">
        <v>46327</v>
      </c>
      <c r="E22" s="5" t="s">
        <v>36</v>
      </c>
      <c r="F22" s="10"/>
      <c r="G22" s="10"/>
      <c r="H22" s="10"/>
      <c r="I22" s="10"/>
      <c r="J22" s="10"/>
      <c r="K22" s="16"/>
      <c r="L22" s="16"/>
      <c r="M22" s="16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15" hidden="false" customHeight="false" outlineLevel="0" collapsed="false">
      <c r="A23" s="5" t="s">
        <v>41</v>
      </c>
      <c r="B23" s="6" t="s">
        <v>42</v>
      </c>
      <c r="C23" s="7" t="n">
        <v>46314</v>
      </c>
      <c r="D23" s="7" t="n">
        <v>46334</v>
      </c>
      <c r="E23" s="5" t="s">
        <v>36</v>
      </c>
      <c r="F23" s="10"/>
      <c r="G23" s="10"/>
      <c r="H23" s="10"/>
      <c r="I23" s="10"/>
      <c r="J23" s="10"/>
      <c r="K23" s="10"/>
      <c r="L23" s="16"/>
      <c r="M23" s="16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5" hidden="false" customHeight="false" outlineLevel="0" collapsed="false">
      <c r="A24" s="5" t="s">
        <v>43</v>
      </c>
      <c r="B24" s="6" t="s">
        <v>44</v>
      </c>
      <c r="C24" s="7" t="n">
        <v>46321</v>
      </c>
      <c r="D24" s="7" t="n">
        <v>46341</v>
      </c>
      <c r="E24" s="5" t="s">
        <v>36</v>
      </c>
      <c r="F24" s="10"/>
      <c r="G24" s="10"/>
      <c r="H24" s="10"/>
      <c r="I24" s="10"/>
      <c r="J24" s="10"/>
      <c r="K24" s="10"/>
      <c r="L24" s="10"/>
      <c r="M24" s="16"/>
      <c r="N24" s="16"/>
      <c r="O24" s="16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5" hidden="false" customHeight="false" outlineLevel="0" collapsed="false">
      <c r="A25" s="5" t="s">
        <v>45</v>
      </c>
      <c r="B25" s="6" t="s">
        <v>12</v>
      </c>
      <c r="C25" s="7" t="n">
        <v>46321</v>
      </c>
      <c r="D25" s="7" t="n">
        <v>46348</v>
      </c>
      <c r="E25" s="5" t="s">
        <v>36</v>
      </c>
      <c r="F25" s="10"/>
      <c r="G25" s="10"/>
      <c r="H25" s="10"/>
      <c r="I25" s="10"/>
      <c r="J25" s="10"/>
      <c r="K25" s="10"/>
      <c r="L25" s="10"/>
      <c r="M25" s="16"/>
      <c r="N25" s="16"/>
      <c r="O25" s="16"/>
      <c r="P25" s="16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5" hidden="false" customHeight="false" outlineLevel="0" collapsed="false">
      <c r="A26" s="5" t="s">
        <v>46</v>
      </c>
      <c r="B26" s="6" t="s">
        <v>47</v>
      </c>
      <c r="C26" s="7" t="n">
        <v>46328</v>
      </c>
      <c r="D26" s="7" t="n">
        <v>46348</v>
      </c>
      <c r="E26" s="5" t="s">
        <v>36</v>
      </c>
      <c r="F26" s="10"/>
      <c r="G26" s="10"/>
      <c r="H26" s="10"/>
      <c r="I26" s="10"/>
      <c r="J26" s="10"/>
      <c r="K26" s="10"/>
      <c r="L26" s="10"/>
      <c r="M26" s="10"/>
      <c r="N26" s="16"/>
      <c r="O26" s="16"/>
      <c r="P26" s="16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5" hidden="false" customHeight="false" outlineLevel="0" collapsed="false">
      <c r="A27" s="5" t="s">
        <v>48</v>
      </c>
      <c r="B27" s="6" t="s">
        <v>18</v>
      </c>
      <c r="C27" s="7" t="n">
        <v>46307</v>
      </c>
      <c r="D27" s="7" t="n">
        <v>46320</v>
      </c>
      <c r="E27" s="5" t="s">
        <v>36</v>
      </c>
      <c r="F27" s="10"/>
      <c r="G27" s="10"/>
      <c r="H27" s="10"/>
      <c r="I27" s="10"/>
      <c r="J27" s="10"/>
      <c r="K27" s="16"/>
      <c r="L27" s="16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5" hidden="false" customHeight="false" outlineLevel="0" collapsed="false">
      <c r="A28" s="5" t="s">
        <v>49</v>
      </c>
      <c r="B28" s="6" t="s">
        <v>14</v>
      </c>
      <c r="C28" s="7" t="n">
        <v>46328</v>
      </c>
      <c r="D28" s="7" t="n">
        <v>46348</v>
      </c>
      <c r="E28" s="5" t="s">
        <v>36</v>
      </c>
      <c r="F28" s="10"/>
      <c r="G28" s="10"/>
      <c r="H28" s="10"/>
      <c r="I28" s="10"/>
      <c r="J28" s="10"/>
      <c r="K28" s="10"/>
      <c r="L28" s="10"/>
      <c r="M28" s="10"/>
      <c r="N28" s="16"/>
      <c r="O28" s="16"/>
      <c r="P28" s="16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5" hidden="false" customHeight="false" outlineLevel="0" collapsed="false">
      <c r="A29" s="5" t="s">
        <v>50</v>
      </c>
      <c r="B29" s="6" t="s">
        <v>51</v>
      </c>
      <c r="C29" s="7" t="n">
        <v>46342</v>
      </c>
      <c r="D29" s="7" t="n">
        <v>46355</v>
      </c>
      <c r="E29" s="5" t="s">
        <v>36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6"/>
      <c r="Q29" s="16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5" hidden="false" customHeight="false" outlineLevel="0" collapsed="false">
      <c r="A30" s="13" t="s">
        <v>52</v>
      </c>
      <c r="B30" s="6" t="s">
        <v>31</v>
      </c>
      <c r="C30" s="7" t="n">
        <v>46355</v>
      </c>
      <c r="D30" s="7" t="n">
        <v>46355</v>
      </c>
      <c r="E30" s="14" t="s">
        <v>32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5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15" hidden="false" customHeight="false" outlineLevel="0" collapsed="false">
      <c r="A31" s="3" t="s">
        <v>53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" hidden="false" customHeight="false" outlineLevel="0" collapsed="false">
      <c r="A32" s="5" t="s">
        <v>54</v>
      </c>
      <c r="B32" s="6" t="s">
        <v>55</v>
      </c>
      <c r="C32" s="7" t="n">
        <v>46356</v>
      </c>
      <c r="D32" s="7" t="n">
        <v>46376</v>
      </c>
      <c r="E32" s="5" t="s">
        <v>36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6"/>
      <c r="S32" s="16"/>
      <c r="T32" s="16"/>
      <c r="U32" s="10"/>
      <c r="V32" s="10"/>
      <c r="W32" s="10"/>
      <c r="X32" s="10"/>
      <c r="Y32" s="10"/>
      <c r="Z32" s="10"/>
    </row>
    <row r="33" customFormat="false" ht="15" hidden="false" customHeight="false" outlineLevel="0" collapsed="false">
      <c r="A33" s="5" t="s">
        <v>56</v>
      </c>
      <c r="B33" s="6" t="s">
        <v>42</v>
      </c>
      <c r="C33" s="7" t="n">
        <v>46356</v>
      </c>
      <c r="D33" s="7" t="n">
        <v>46376</v>
      </c>
      <c r="E33" s="5" t="s">
        <v>36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6"/>
      <c r="S33" s="16"/>
      <c r="T33" s="16"/>
      <c r="U33" s="10"/>
      <c r="V33" s="10"/>
      <c r="W33" s="10"/>
      <c r="X33" s="10"/>
      <c r="Y33" s="10"/>
      <c r="Z33" s="10"/>
    </row>
    <row r="34" customFormat="false" ht="15" hidden="false" customHeight="false" outlineLevel="0" collapsed="false">
      <c r="A34" s="5" t="s">
        <v>57</v>
      </c>
      <c r="B34" s="6" t="s">
        <v>47</v>
      </c>
      <c r="C34" s="7" t="n">
        <v>46356</v>
      </c>
      <c r="D34" s="7" t="n">
        <v>46376</v>
      </c>
      <c r="E34" s="5" t="s">
        <v>36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6"/>
      <c r="S34" s="16"/>
      <c r="T34" s="16"/>
      <c r="U34" s="10"/>
      <c r="V34" s="10"/>
      <c r="W34" s="10"/>
      <c r="X34" s="10"/>
      <c r="Y34" s="10"/>
      <c r="Z34" s="10"/>
    </row>
    <row r="35" customFormat="false" ht="15" hidden="false" customHeight="false" outlineLevel="0" collapsed="false">
      <c r="A35" s="5" t="s">
        <v>58</v>
      </c>
      <c r="B35" s="6" t="s">
        <v>18</v>
      </c>
      <c r="C35" s="7" t="n">
        <v>46363</v>
      </c>
      <c r="D35" s="7" t="n">
        <v>46376</v>
      </c>
      <c r="E35" s="5" t="s">
        <v>36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6"/>
      <c r="T35" s="16"/>
      <c r="U35" s="10"/>
      <c r="V35" s="10"/>
      <c r="W35" s="10"/>
      <c r="X35" s="10"/>
      <c r="Y35" s="10"/>
      <c r="Z35" s="10"/>
    </row>
    <row r="36" customFormat="false" ht="15" hidden="false" customHeight="false" outlineLevel="0" collapsed="false">
      <c r="A36" s="5" t="s">
        <v>59</v>
      </c>
      <c r="B36" s="6" t="s">
        <v>31</v>
      </c>
      <c r="C36" s="7" t="n">
        <v>46377</v>
      </c>
      <c r="D36" s="7" t="n">
        <v>46390</v>
      </c>
      <c r="E36" s="5" t="s">
        <v>60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7"/>
      <c r="V36" s="17"/>
      <c r="W36" s="10"/>
      <c r="X36" s="10"/>
      <c r="Y36" s="10"/>
      <c r="Z36" s="10"/>
    </row>
    <row r="37" customFormat="false" ht="15" hidden="false" customHeight="false" outlineLevel="0" collapsed="false">
      <c r="A37" s="5" t="s">
        <v>61</v>
      </c>
      <c r="B37" s="6" t="s">
        <v>62</v>
      </c>
      <c r="C37" s="7" t="n">
        <v>46391</v>
      </c>
      <c r="D37" s="7" t="n">
        <v>46404</v>
      </c>
      <c r="E37" s="5" t="s">
        <v>36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6"/>
      <c r="X37" s="16"/>
      <c r="Y37" s="10"/>
      <c r="Z37" s="10"/>
    </row>
    <row r="38" customFormat="false" ht="15" hidden="false" customHeight="false" outlineLevel="0" collapsed="false">
      <c r="A38" s="5" t="s">
        <v>63</v>
      </c>
      <c r="B38" s="6" t="s">
        <v>51</v>
      </c>
      <c r="C38" s="7" t="n">
        <v>46391</v>
      </c>
      <c r="D38" s="7" t="n">
        <v>46411</v>
      </c>
      <c r="E38" s="5" t="s">
        <v>36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6"/>
      <c r="X38" s="16"/>
      <c r="Y38" s="16"/>
      <c r="Z38" s="10"/>
    </row>
    <row r="39" customFormat="false" ht="15" hidden="false" customHeight="false" outlineLevel="0" collapsed="false">
      <c r="A39" s="5" t="s">
        <v>64</v>
      </c>
      <c r="B39" s="6" t="s">
        <v>65</v>
      </c>
      <c r="C39" s="7" t="n">
        <v>46398</v>
      </c>
      <c r="D39" s="7" t="n">
        <v>46418</v>
      </c>
      <c r="E39" s="5" t="s">
        <v>36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6"/>
      <c r="Y39" s="16"/>
      <c r="Z39" s="16"/>
    </row>
    <row r="40" customFormat="false" ht="15" hidden="false" customHeight="false" outlineLevel="0" collapsed="false">
      <c r="A40" s="13" t="s">
        <v>66</v>
      </c>
      <c r="B40" s="6" t="s">
        <v>31</v>
      </c>
      <c r="C40" s="7" t="n">
        <v>46418</v>
      </c>
      <c r="D40" s="7" t="n">
        <v>46418</v>
      </c>
      <c r="E40" s="14" t="s">
        <v>32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5"/>
    </row>
  </sheetData>
  <conditionalFormatting sqref="F1:Z1">
    <cfRule type="expression" priority="2" aboveAverage="0" equalAverage="0" bottom="0" percent="0" rank="0" text="" dxfId="0">
      <formula>AND(TODAY()&gt;=F$1,TODAY()&lt;F$1+7)</formula>
    </cfRule>
  </conditionalFormatting>
  <dataValidations count="1">
    <dataValidation allowBlank="true" errorStyle="stop" operator="between" showDropDown="false" showErrorMessage="false" showInputMessage="false" sqref="E2:E40" type="list">
      <formula1>"Done,In progress,Not started,Blocked,Milestone,Break"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8" t="s">
        <v>67</v>
      </c>
    </row>
    <row r="2" customFormat="false" ht="15" hidden="false" customHeight="false" outlineLevel="0" collapsed="false">
      <c r="A2" s="19" t="s">
        <v>4</v>
      </c>
      <c r="B2" s="19" t="s">
        <v>68</v>
      </c>
    </row>
    <row r="3" customFormat="false" ht="15" hidden="false" customHeight="false" outlineLevel="0" collapsed="false">
      <c r="A3" s="20" t="s">
        <v>8</v>
      </c>
      <c r="B3" s="20" t="n">
        <f aca="false">COUNTIF(Gantt!$E$2:$E$40,A3)</f>
        <v>11</v>
      </c>
    </row>
    <row r="4" customFormat="false" ht="15" hidden="false" customHeight="false" outlineLevel="0" collapsed="false">
      <c r="A4" s="20" t="s">
        <v>26</v>
      </c>
      <c r="B4" s="20" t="n">
        <f aca="false">COUNTIF(Gantt!$E$2:$E$40,A4)</f>
        <v>3</v>
      </c>
    </row>
    <row r="5" customFormat="false" ht="15" hidden="false" customHeight="false" outlineLevel="0" collapsed="false">
      <c r="A5" s="20" t="s">
        <v>36</v>
      </c>
      <c r="B5" s="20" t="n">
        <f aca="false">COUNTIF(Gantt!$E$2:$E$40,A5)</f>
        <v>18</v>
      </c>
    </row>
    <row r="6" customFormat="false" ht="15" hidden="false" customHeight="false" outlineLevel="0" collapsed="false">
      <c r="A6" s="20" t="s">
        <v>69</v>
      </c>
      <c r="B6" s="20" t="n">
        <f aca="false">COUNTIF(Gantt!$E$2:$E$40,A6)</f>
        <v>0</v>
      </c>
    </row>
    <row r="7" customFormat="false" ht="15" hidden="false" customHeight="false" outlineLevel="0" collapsed="false">
      <c r="A7" s="20" t="s">
        <v>32</v>
      </c>
      <c r="B7" s="20" t="n">
        <f aca="false">COUNTIF(Gantt!$E$2:$E$40,A7)</f>
        <v>3</v>
      </c>
    </row>
    <row r="9" customFormat="false" ht="15" hidden="false" customHeight="false" outlineLevel="0" collapsed="false">
      <c r="A9" s="19" t="s">
        <v>70</v>
      </c>
      <c r="B9" s="19" t="n">
        <f aca="false">SUM(B3:B6)</f>
        <v>32</v>
      </c>
    </row>
    <row r="10" customFormat="false" ht="15" hidden="false" customHeight="false" outlineLevel="0" collapsed="false">
      <c r="A10" s="19" t="s">
        <v>71</v>
      </c>
      <c r="B10" s="21" t="n">
        <f aca="false">IFERROR(B3/B9,0)</f>
        <v>0.34375</v>
      </c>
    </row>
    <row r="12" customFormat="false" ht="15" hidden="false" customHeight="false" outlineLevel="0" collapsed="false">
      <c r="A12" s="19" t="s">
        <v>72</v>
      </c>
    </row>
    <row r="13" customFormat="false" ht="15" hidden="false" customHeight="false" outlineLevel="0" collapsed="false">
      <c r="A13" s="22"/>
      <c r="B13" s="20" t="s">
        <v>8</v>
      </c>
    </row>
    <row r="14" customFormat="false" ht="15" hidden="false" customHeight="false" outlineLevel="0" collapsed="false">
      <c r="A14" s="23"/>
      <c r="B14" s="20" t="s">
        <v>26</v>
      </c>
    </row>
    <row r="15" customFormat="false" ht="15" hidden="false" customHeight="false" outlineLevel="0" collapsed="false">
      <c r="A15" s="24"/>
      <c r="B15" s="20" t="s">
        <v>36</v>
      </c>
    </row>
    <row r="16" customFormat="false" ht="15" hidden="false" customHeight="false" outlineLevel="0" collapsed="false">
      <c r="A16" s="25"/>
      <c r="B16" s="20" t="s">
        <v>69</v>
      </c>
    </row>
    <row r="17" customFormat="false" ht="15" hidden="false" customHeight="false" outlineLevel="0" collapsed="false">
      <c r="A17" s="26"/>
      <c r="B17" s="20" t="s">
        <v>32</v>
      </c>
    </row>
    <row r="18" customFormat="false" ht="15" hidden="false" customHeight="false" outlineLevel="0" collapsed="false">
      <c r="A18" s="27"/>
      <c r="B18" s="20" t="s">
        <v>60</v>
      </c>
    </row>
    <row r="19" customFormat="false" ht="15" hidden="false" customHeight="false" outlineLevel="0" collapsed="false">
      <c r="A19" s="28"/>
      <c r="B19" s="20" t="s">
        <v>73</v>
      </c>
    </row>
    <row r="21" customFormat="false" ht="15" hidden="false" customHeight="false" outlineLevel="0" collapsed="false">
      <c r="A21" s="29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2026-10-08T13:55:17Z</dcterms:created>
  <dc:creator>openpyxl</dc:creator>
  <dc:description/>
  <dc:language>en-US</dc:language>
  <cp:lastModifiedBy/>
  <dcterms:modified xsi:type="dcterms:W3CDTF">2026-10-08T13:55:17Z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